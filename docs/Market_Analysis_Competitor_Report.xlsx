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ocument Intelligence" sheetId="2" state="visible" r:id="rId4"/>
    <sheet name="Customer Support" sheetId="3" state="visible" r:id="rId5"/>
    <sheet name="Personal Finance India" sheetId="4" state="visible" r:id="rId6"/>
    <sheet name="Code Review DevOps" sheetId="5" state="visible" r:id="rId7"/>
    <sheet name="MCP Agent Platform" sheetId="6" state="visible" r:id="rId8"/>
    <sheet name="Cost Mod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<sst xmlns="http://schemas.openxmlformats.org/spreadsheetml/2006/main" count="482" uniqueCount="375">
  <si>
    <t xml:space="preserve">MARKET ANALYSIS — AI Product Opportunities</t>
  </si>
  <si>
    <t xml:space="preserve">Based on your MCP Farm + Agent Farm architecture with local model optimization</t>
  </si>
  <si>
    <t xml:space="preserve">Product Opportunity</t>
  </si>
  <si>
    <t xml:space="preserve">Market Size (2026)</t>
  </si>
  <si>
    <t xml:space="preserve">CAGR</t>
  </si>
  <si>
    <t xml:space="preserve">Top Competitors</t>
  </si>
  <si>
    <t xml:space="preserve">Your Edge</t>
  </si>
  <si>
    <t xml:space="preserve">Est. Revenue/Customer/Mo</t>
  </si>
  <si>
    <t xml:space="preserve">Viability Score</t>
  </si>
  <si>
    <t xml:space="preserve">AI Document Intelligence</t>
  </si>
  <si>
    <t xml:space="preserve">$4.3B - $14.2B</t>
  </si>
  <si>
    <t xml:space="preserve">26-34%</t>
  </si>
  <si>
    <t xml:space="preserve">ABBYY, Rossum, Docsumo, UiPath</t>
  </si>
  <si>
    <t xml:space="preserve">85% local model, self-hosted, privacy-first</t>
  </si>
  <si>
    <t xml:space="preserve">$49 - $199</t>
  </si>
  <si>
    <t xml:space="preserve">AI Customer Support Agents</t>
  </si>
  <si>
    <t xml:space="preserve">$12.1B (help desk SW)</t>
  </si>
  <si>
    <t xml:space="preserve">22%</t>
  </si>
  <si>
    <t xml:space="preserve">Intercom, Zendesk, Freshdesk</t>
  </si>
  <si>
    <t xml:space="preserve">90% local model, $0.05/resolution vs $1.00</t>
  </si>
  <si>
    <t xml:space="preserve">$199 - $999</t>
  </si>
  <si>
    <t xml:space="preserve">AI Personal Finance (India)</t>
  </si>
  <si>
    <t xml:space="preserve">$16.5B (robo-advisory IN)</t>
  </si>
  <si>
    <t xml:space="preserve">28%</t>
  </si>
  <si>
    <t xml:space="preserve">INDmoney, Smallcase, Groww, Kuvera</t>
  </si>
  <si>
    <t xml:space="preserve">Kite integration built, true AI vs rule-based</t>
  </si>
  <si>
    <t xml:space="preserve">$0 - $9.99 (freemium)</t>
  </si>
  <si>
    <t xml:space="preserve">AI Code Review &amp; DevOps</t>
  </si>
  <si>
    <t xml:space="preserve">$3.2B (code assistant)</t>
  </si>
  <si>
    <t xml:space="preserve">35%</t>
  </si>
  <si>
    <t xml:space="preserve">GitHub Copilot, CodeRabbit, Cursor, Qodo</t>
  </si>
  <si>
    <t xml:space="preserve">Self-hosted, local models, MCP-integrated</t>
  </si>
  <si>
    <t xml:space="preserve">$12 - $24/user</t>
  </si>
  <si>
    <t xml:space="preserve">MCP Gateway Platform</t>
  </si>
  <si>
    <t xml:space="preserve">Emerging (~$500M)</t>
  </si>
  <si>
    <t xml:space="preserve">45%+</t>
  </si>
  <si>
    <t xml:space="preserve">TrueFoundry, MintMCP, Peta, Cloudflare</t>
  </si>
  <si>
    <t xml:space="preserve">Open-source, self-hostable, full agent farm</t>
  </si>
  <si>
    <t xml:space="preserve">$99 - $499</t>
  </si>
  <si>
    <t xml:space="preserve">RECOMMENDATION</t>
  </si>
  <si>
    <t xml:space="preserve">Primary: AI Document Intelligence — Largest addressable market, highest local model usage (85%), clear revenue model, low competition in self-hosted segment. Start with invoice/contract processing for SMBs in legal, accounting, and real estate verticals.</t>
  </si>
  <si>
    <t xml:space="preserve">Secondary: AI Customer Support Agents — Highest margin per customer, proven market, and your MCP architecture enables rapid knowledge base integration. The cost advantage ($0.05 vs $1.00 per resolution) is a genuine moat.</t>
  </si>
  <si>
    <t xml:space="preserve">INTELLIGENT DOCUMENT PROCESSING (IDP) — Competitor Analysis</t>
  </si>
  <si>
    <t xml:space="preserve">Market: $4.3B (2026) → $43.9B (2034) | CAGR: 26-34%</t>
  </si>
  <si>
    <t xml:space="preserve">Competitor</t>
  </si>
  <si>
    <t xml:space="preserve">Type</t>
  </si>
  <si>
    <t xml:space="preserve">Pricing Model</t>
  </si>
  <si>
    <t xml:space="preserve">Starting Price</t>
  </si>
  <si>
    <t xml:space="preserve">Per-Page Cost</t>
  </si>
  <si>
    <t xml:space="preserve">Self-Hosted?</t>
  </si>
  <si>
    <t xml:space="preserve">AI Type</t>
  </si>
  <si>
    <t xml:space="preserve">Key Strength</t>
  </si>
  <si>
    <t xml:space="preserve">Key Weakness</t>
  </si>
  <si>
    <t xml:space="preserve">ABBYY Vantage</t>
  </si>
  <si>
    <t xml:space="preserve">Enterprise</t>
  </si>
  <si>
    <t xml:space="preserve">Per-page annual license</t>
  </si>
  <si>
    <t xml:space="preserve">$10K+/yr</t>
  </si>
  <si>
    <t xml:space="preserve">$0.02-$0.10</t>
  </si>
  <si>
    <t xml:space="preserve">Yes (on-prem)</t>
  </si>
  <si>
    <t xml:space="preserve">ML + OCR</t>
  </si>
  <si>
    <t xml:space="preserve">Industry leader, 30+ years, most accurate OCR</t>
  </si>
  <si>
    <t xml:space="preserve">Expensive, complex setup, legacy feel</t>
  </si>
  <si>
    <t xml:space="preserve">Rossum</t>
  </si>
  <si>
    <t xml:space="preserve">Mid-Market</t>
  </si>
  <si>
    <t xml:space="preserve">Monthly subscription</t>
  </si>
  <si>
    <t xml:space="preserve">$1,500/mo</t>
  </si>
  <si>
    <t xml:space="preserve">~$0.15-$0.30</t>
  </si>
  <si>
    <t xml:space="preserve">No (cloud only)</t>
  </si>
  <si>
    <t xml:space="preserve">Deep learning</t>
  </si>
  <si>
    <t xml:space="preserve">Best UX, learns from corrections, fast setup</t>
  </si>
  <si>
    <t xml:space="preserve">Cloud-only, expensive for SMB, limited doc types</t>
  </si>
  <si>
    <t xml:space="preserve">Docsumo</t>
  </si>
  <si>
    <t xml:space="preserve">SMB/Mid</t>
  </si>
  <si>
    <t xml:space="preserve">Per-page tiered</t>
  </si>
  <si>
    <t xml:space="preserve">$25/mo</t>
  </si>
  <si>
    <t xml:space="preserve">$0.05-$0.30</t>
  </si>
  <si>
    <t xml:space="preserve">ML + templates</t>
  </si>
  <si>
    <t xml:space="preserve">Affordable, good accuracy, API-first</t>
  </si>
  <si>
    <t xml:space="preserve">No self-hosted, limited customization</t>
  </si>
  <si>
    <t xml:space="preserve">UiPath Document AI</t>
  </si>
  <si>
    <t xml:space="preserve">Per-robot license</t>
  </si>
  <si>
    <t xml:space="preserve">$5K+/yr</t>
  </si>
  <si>
    <t xml:space="preserve">Bundled</t>
  </si>
  <si>
    <t xml:space="preserve">Yes</t>
  </si>
  <si>
    <t xml:space="preserve">ML + RPA</t>
  </si>
  <si>
    <t xml:space="preserve">Full RPA integration, workflow automation</t>
  </si>
  <si>
    <t xml:space="preserve">Requires UiPath ecosystem, steep learning curve</t>
  </si>
  <si>
    <t xml:space="preserve">Nanonets</t>
  </si>
  <si>
    <t xml:space="preserve">SMB</t>
  </si>
  <si>
    <t xml:space="preserve">Pay-as-you-go</t>
  </si>
  <si>
    <t xml:space="preserve">$0.30/page</t>
  </si>
  <si>
    <t xml:space="preserve">$0.30</t>
  </si>
  <si>
    <t xml:space="preserve">No</t>
  </si>
  <si>
    <t xml:space="preserve">No-code, fast training, good for invoices</t>
  </si>
  <si>
    <t xml:space="preserve">Expensive at scale, cloud-only</t>
  </si>
  <si>
    <t xml:space="preserve">Unstract (OSS)</t>
  </si>
  <si>
    <t xml:space="preserve">Developer</t>
  </si>
  <si>
    <t xml:space="preserve">Free (OSS)</t>
  </si>
  <si>
    <t xml:space="preserve">$0</t>
  </si>
  <si>
    <t xml:space="preserve">$0 (self-host)</t>
  </si>
  <si>
    <t xml:space="preserve">LLM-based</t>
  </si>
  <si>
    <t xml:space="preserve">Open-source, any LLM, fully customizable</t>
  </si>
  <si>
    <t xml:space="preserve">Requires technical setup, no enterprise support</t>
  </si>
  <si>
    <t xml:space="preserve">Docling (IBM OSS)</t>
  </si>
  <si>
    <t xml:space="preserve">ML</t>
  </si>
  <si>
    <t xml:space="preserve">Fast, accurate layout parsing, LangChain ready</t>
  </si>
  <si>
    <t xml:space="preserve">Library only, no UI, limited doc types</t>
  </si>
  <si>
    <t xml:space="preserve">YOUR PRODUCT</t>
  </si>
  <si>
    <t xml:space="preserve">Monthly + per-page</t>
  </si>
  <si>
    <t xml:space="preserve">$49/mo</t>
  </si>
  <si>
    <t xml:space="preserve">$0.01-$0.05</t>
  </si>
  <si>
    <t xml:space="preserve">Local LLM + Cloud fallback</t>
  </si>
  <si>
    <t xml:space="preserve">85% free (local), self-hosted, privacy-first, MCP-integrated</t>
  </si>
  <si>
    <t xml:space="preserve">New entrant, needs credibility</t>
  </si>
  <si>
    <t xml:space="preserve">AI CUSTOMER SUPPORT PLATFORMS — Competitor Analysis</t>
  </si>
  <si>
    <t xml:space="preserve">Zendesk AI: $1.50-2.00/resolution | Intercom Fin: $0.99/resolution | YOUR TARGET: $0.05/resolution</t>
  </si>
  <si>
    <t xml:space="preserve">AI Cost/Resolution</t>
  </si>
  <si>
    <t xml:space="preserve">Base Price</t>
  </si>
  <si>
    <t xml:space="preserve">AI Containment Rate</t>
  </si>
  <si>
    <t xml:space="preserve">Knowledge Base</t>
  </si>
  <si>
    <t xml:space="preserve">Zendesk</t>
  </si>
  <si>
    <t xml:space="preserve">Per-agent + per-resolution</t>
  </si>
  <si>
    <t xml:space="preserve">$1.50-$2.00</t>
  </si>
  <si>
    <t xml:space="preserve">$55-$169/agent/mo</t>
  </si>
  <si>
    <t xml:space="preserve">20-30%</t>
  </si>
  <si>
    <t xml:space="preserve">Help Center</t>
  </si>
  <si>
    <t xml:space="preserve">Enterprise trust, 100K+ customers, full CX suite</t>
  </si>
  <si>
    <t xml:space="preserve">Expensive, AI costs unpredictable, complex setup</t>
  </si>
  <si>
    <t xml:space="preserve">Intercom</t>
  </si>
  <si>
    <t xml:space="preserve">Per-seat + per-resolution</t>
  </si>
  <si>
    <t xml:space="preserve">$0.99</t>
  </si>
  <si>
    <t xml:space="preserve">$39-$139/seat/mo</t>
  </si>
  <si>
    <t xml:space="preserve">50%+</t>
  </si>
  <si>
    <t xml:space="preserve">Articles + Custom</t>
  </si>
  <si>
    <t xml:space="preserve">Best-in-class Fin AI agent, product-led</t>
  </si>
  <si>
    <t xml:space="preserve">$0.99/resolution explodes at scale ($5K+/mo)</t>
  </si>
  <si>
    <t xml:space="preserve">Freshdesk</t>
  </si>
  <si>
    <t xml:space="preserve">Per-agent flat</t>
  </si>
  <si>
    <t xml:space="preserve">Included</t>
  </si>
  <si>
    <t xml:space="preserve">$15-$79/agent/mo</t>
  </si>
  <si>
    <t xml:space="preserve">30-40%</t>
  </si>
  <si>
    <t xml:space="preserve">Best value, 80% of Zendesk at 50% cost</t>
  </si>
  <si>
    <t xml:space="preserve">AI less sophisticated, fewer integrations</t>
  </si>
  <si>
    <t xml:space="preserve">Tidio</t>
  </si>
  <si>
    <t xml:space="preserve">Per-seat + chatbot tier</t>
  </si>
  <si>
    <t xml:space="preserve">$0.50-$1.00</t>
  </si>
  <si>
    <t xml:space="preserve">$29-$59/mo</t>
  </si>
  <si>
    <t xml:space="preserve">40%</t>
  </si>
  <si>
    <t xml:space="preserve">Basic KB</t>
  </si>
  <si>
    <t xml:space="preserve">Easy setup, good for small e-commerce</t>
  </si>
  <si>
    <t xml:space="preserve">Limited scalability, basic AI</t>
  </si>
  <si>
    <t xml:space="preserve">Ada</t>
  </si>
  <si>
    <t xml:space="preserve">Per-resolution</t>
  </si>
  <si>
    <t xml:space="preserve">$0.50-$1.50</t>
  </si>
  <si>
    <t xml:space="preserve">Custom</t>
  </si>
  <si>
    <t xml:space="preserve">60-70%</t>
  </si>
  <si>
    <t xml:space="preserve">Multi-source</t>
  </si>
  <si>
    <t xml:space="preserve">Purpose-built AI agent, high containment</t>
  </si>
  <si>
    <t xml:space="preserve">Expensive custom pricing, enterprise focus</t>
  </si>
  <si>
    <t xml:space="preserve">Lorikeet</t>
  </si>
  <si>
    <t xml:space="preserve">$0.30-$0.80</t>
  </si>
  <si>
    <t xml:space="preserve">50-70%</t>
  </si>
  <si>
    <t xml:space="preserve">Purpose-built, outperforms Zendesk AI</t>
  </si>
  <si>
    <t xml:space="preserve">New, limited track record</t>
  </si>
  <si>
    <t xml:space="preserve">Flat + per-resolution</t>
  </si>
  <si>
    <t xml:space="preserve">$99-$299/mo</t>
  </si>
  <si>
    <t xml:space="preserve">60-80%</t>
  </si>
  <si>
    <t xml:space="preserve">RAG (pgvector)</t>
  </si>
  <si>
    <t xml:space="preserve">90% local model, 95% cheaper per resolution, self-hosted, privacy</t>
  </si>
  <si>
    <t xml:space="preserve">New entrant, needs integrations (email, chat widgets)</t>
  </si>
  <si>
    <t xml:space="preserve">AI PERSONAL FINANCE / ROBO-ADVISORY (INDIA) — Competitor Analysis</t>
  </si>
  <si>
    <t xml:space="preserve">India robo-advisory: $16.5B (2022) → $45B (2026) | 39M users by 2026 | Most platforms are rule-based, not true AI</t>
  </si>
  <si>
    <t xml:space="preserve">Pricing</t>
  </si>
  <si>
    <t xml:space="preserve">AUM/Users</t>
  </si>
  <si>
    <t xml:space="preserve">True AI?</t>
  </si>
  <si>
    <t xml:space="preserve">Kite Integration?</t>
  </si>
  <si>
    <t xml:space="preserve">Key Feature</t>
  </si>
  <si>
    <t xml:space="preserve">INDmoney</t>
  </si>
  <si>
    <t xml:space="preserve">Super-app</t>
  </si>
  <si>
    <t xml:space="preserve">Free (earns via distribution)</t>
  </si>
  <si>
    <t xml:space="preserve">10M+ users</t>
  </si>
  <si>
    <t xml:space="preserve">No (rule-based)</t>
  </si>
  <si>
    <t xml:space="preserve">All-in-one finance tracker</t>
  </si>
  <si>
    <t xml:space="preserve">Massive user base, tracks everything</t>
  </si>
  <si>
    <t xml:space="preserve">Not true AI, earns via product push, privacy concerns</t>
  </si>
  <si>
    <t xml:space="preserve">Smallcase</t>
  </si>
  <si>
    <t xml:space="preserve">Thematic investing</t>
  </si>
  <si>
    <t xml:space="preserve">Free + manager fees (1.5-2.5%)</t>
  </si>
  <si>
    <t xml:space="preserve">5M+ users</t>
  </si>
  <si>
    <t xml:space="preserve">No (curated)</t>
  </si>
  <si>
    <t xml:space="preserve">Yes (via brokers)</t>
  </si>
  <si>
    <t xml:space="preserve">Theme-based stock baskets</t>
  </si>
  <si>
    <t xml:space="preserve">Unique model, easy to invest in themes</t>
  </si>
  <si>
    <t xml:space="preserve">Not AI, human-curated, fees on each basket</t>
  </si>
  <si>
    <t xml:space="preserve">Groww</t>
  </si>
  <si>
    <t xml:space="preserve">Broker + advisory</t>
  </si>
  <si>
    <t xml:space="preserve">Free trading, MF free</t>
  </si>
  <si>
    <t xml:space="preserve">Easy investing UX</t>
  </si>
  <si>
    <t xml:space="preserve">Simplest UX, huge user base</t>
  </si>
  <si>
    <t xml:space="preserve">No AI advisory, basic recommendations</t>
  </si>
  <si>
    <t xml:space="preserve">Kuvera</t>
  </si>
  <si>
    <t xml:space="preserve">MF platform</t>
  </si>
  <si>
    <t xml:space="preserve">Free (direct MF)</t>
  </si>
  <si>
    <t xml:space="preserve">3M+ users</t>
  </si>
  <si>
    <t xml:space="preserve">No (goal-based)</t>
  </si>
  <si>
    <t xml:space="preserve">Goal-based investing</t>
  </si>
  <si>
    <t xml:space="preserve">Free direct MFs, clean UI</t>
  </si>
  <si>
    <t xml:space="preserve">No equity advisory, rule-based goals only</t>
  </si>
  <si>
    <t xml:space="preserve">Pluto Money</t>
  </si>
  <si>
    <t xml:space="preserve">AI advisory</t>
  </si>
  <si>
    <t xml:space="preserve">Freemium</t>
  </si>
  <si>
    <t xml:space="preserve">500K+ users</t>
  </si>
  <si>
    <t xml:space="preserve">Partial (ML)</t>
  </si>
  <si>
    <t xml:space="preserve">Behavioral nudges</t>
  </si>
  <si>
    <t xml:space="preserve">Closest to AI in India market</t>
  </si>
  <si>
    <t xml:space="preserve">Limited scope, MF only, no portfolio analysis</t>
  </si>
  <si>
    <t xml:space="preserve">Scripbox</t>
  </si>
  <si>
    <t xml:space="preserve">Wealth management</t>
  </si>
  <si>
    <t xml:space="preserve">Advisory fee (0.5-1%)</t>
  </si>
  <si>
    <t xml:space="preserve">1M+ users</t>
  </si>
  <si>
    <t xml:space="preserve">No (algorithm)</t>
  </si>
  <si>
    <t xml:space="preserve">Automated MF selection</t>
  </si>
  <si>
    <t xml:space="preserve">Trusted brand, simple onboarding</t>
  </si>
  <si>
    <t xml:space="preserve">High fees, not transparent, limited AI</t>
  </si>
  <si>
    <t xml:space="preserve">AI portfolio intelligence</t>
  </si>
  <si>
    <t xml:space="preserve">Freemium ($0-$9.99/mo)</t>
  </si>
  <si>
    <t xml:space="preserve">0 (new)</t>
  </si>
  <si>
    <t xml:space="preserve">Yes (Claude + local LLM)</t>
  </si>
  <si>
    <t xml:space="preserve">Yes (built-in)</t>
  </si>
  <si>
    <t xml:space="preserve">True AI analysis, chat, rebalancing, tax harvesting</t>
  </si>
  <si>
    <t xml:space="preserve">Only product with real AI + Kite, local-first, privacy</t>
  </si>
  <si>
    <t xml:space="preserve">New, needs user trust, SEBI regulatory clarity</t>
  </si>
  <si>
    <t xml:space="preserve">AI CODE REVIEW &amp; DEVOPS COPILOT — Competitor Analysis</t>
  </si>
  <si>
    <t xml:space="preserve">GitHub Copilot: 1.8M paying devs | Cursor: $10B valuation | Claude Code: #1 SWE-bench (80.8%)</t>
  </si>
  <si>
    <t xml:space="preserve">Category</t>
  </si>
  <si>
    <t xml:space="preserve">Users/Scale</t>
  </si>
  <si>
    <t xml:space="preserve">Local Model?</t>
  </si>
  <si>
    <t xml:space="preserve">GitHub Copilot</t>
  </si>
  <si>
    <t xml:space="preserve">Code completion</t>
  </si>
  <si>
    <t xml:space="preserve">$10-$39/user/mo</t>
  </si>
  <si>
    <t xml:space="preserve">1.8M paying</t>
  </si>
  <si>
    <t xml:space="preserve">Inline autocomplete + chat</t>
  </si>
  <si>
    <t xml:space="preserve">Deepest IDE integration, Microsoft ecosystem</t>
  </si>
  <si>
    <t xml:space="preserve">Cloud-only, privacy concerns, generic suggestions</t>
  </si>
  <si>
    <t xml:space="preserve">Cursor</t>
  </si>
  <si>
    <t xml:space="preserve">AI IDE</t>
  </si>
  <si>
    <t xml:space="preserve">$16-$40/user/mo</t>
  </si>
  <si>
    <t xml:space="preserve">50% Fortune 500</t>
  </si>
  <si>
    <t xml:space="preserve">Full IDE with AI-native UX</t>
  </si>
  <si>
    <t xml:space="preserve">Best AI-integrated editing experience</t>
  </si>
  <si>
    <t xml:space="preserve">Expensive at scale, credit-based pricing unpredictable</t>
  </si>
  <si>
    <t xml:space="preserve">Claude Code</t>
  </si>
  <si>
    <t xml:space="preserve">Agentic coding</t>
  </si>
  <si>
    <t xml:space="preserve">$0.03/req (API)</t>
  </si>
  <si>
    <t xml:space="preserve">Growing fast</t>
  </si>
  <si>
    <t xml:space="preserve">Autonomous multi-file agent</t>
  </si>
  <si>
    <t xml:space="preserve">#1 SWE-bench, best reasoning</t>
  </si>
  <si>
    <t xml:space="preserve">API cost-based, no flat pricing</t>
  </si>
  <si>
    <t xml:space="preserve">CodeRabbit</t>
  </si>
  <si>
    <t xml:space="preserve">PR review</t>
  </si>
  <si>
    <t xml:space="preserve">$24/user/mo</t>
  </si>
  <si>
    <t xml:space="preserve">2M+ repos</t>
  </si>
  <si>
    <t xml:space="preserve">Automated PR reviews</t>
  </si>
  <si>
    <t xml:space="preserve">Most popular AI code review, thorough</t>
  </si>
  <si>
    <t xml:space="preserve">Cloud-only, can be noisy on PRs</t>
  </si>
  <si>
    <t xml:space="preserve">CodeAnt AI</t>
  </si>
  <si>
    <t xml:space="preserve">Code review + SAST</t>
  </si>
  <si>
    <t xml:space="preserve">$24-$40/user/mo</t>
  </si>
  <si>
    <t xml:space="preserve">Growing</t>
  </si>
  <si>
    <t xml:space="preserve">Review + security scanning</t>
  </si>
  <si>
    <t xml:space="preserve">Bundled review + SAST + DORA metrics</t>
  </si>
  <si>
    <t xml:space="preserve">Newer, less proven at scale</t>
  </si>
  <si>
    <t xml:space="preserve">Qodo (ex-CodiumAI)</t>
  </si>
  <si>
    <t xml:space="preserve">Test + review</t>
  </si>
  <si>
    <t xml:space="preserve">$30/user/mo</t>
  </si>
  <si>
    <t xml:space="preserve">AI test generation</t>
  </si>
  <si>
    <t xml:space="preserve">Strong test generation, PR review</t>
  </si>
  <si>
    <t xml:space="preserve">Expensive, overlaps with IDE tools</t>
  </si>
  <si>
    <t xml:space="preserve">Review + DevOps agent</t>
  </si>
  <si>
    <t xml:space="preserve">$12/user/mo</t>
  </si>
  <si>
    <t xml:space="preserve">Yes (Qwen 32B)</t>
  </si>
  <si>
    <t xml:space="preserve">Codebase RAG + review + incident response</t>
  </si>
  <si>
    <t xml:space="preserve">Self-hosted, local model, MCP-integrated, cheapest</t>
  </si>
  <si>
    <t xml:space="preserve">Crowded market, hard to displace GitHub Copilot</t>
  </si>
  <si>
    <t xml:space="preserve">MCP GATEWAY &amp; AGENT ORCHESTRATION — Competitor Analysis</t>
  </si>
  <si>
    <t xml:space="preserve">Emerging market | MCP adopted by Microsoft, OpenAI, Google | 43% of MCP implementations have security vulnerabilities</t>
  </si>
  <si>
    <t xml:space="preserve">Open Source?</t>
  </si>
  <si>
    <t xml:space="preserve">Enterprise Ready?</t>
  </si>
  <si>
    <t xml:space="preserve">TrueFoundry</t>
  </si>
  <si>
    <t xml:space="preserve">Managed MCP platform</t>
  </si>
  <si>
    <t xml:space="preserve">Custom enterprise</t>
  </si>
  <si>
    <t xml:space="preserve">Unified MCP gateway + governance</t>
  </si>
  <si>
    <t xml:space="preserve">Most complete enterprise MCP platform</t>
  </si>
  <si>
    <t xml:space="preserve">Expensive, enterprise-only focus</t>
  </si>
  <si>
    <t xml:space="preserve">MintMCP</t>
  </si>
  <si>
    <t xml:space="preserve">Managed MCP gateway</t>
  </si>
  <si>
    <t xml:space="preserve">One-click MCP deploy, OAuth, SOC2</t>
  </si>
  <si>
    <t xml:space="preserve">Fastest setup, security-first</t>
  </si>
  <si>
    <t xml:space="preserve">Cloud-only, vendor lock-in</t>
  </si>
  <si>
    <t xml:space="preserve">Peta</t>
  </si>
  <si>
    <t xml:space="preserve">Managed MCP hosting</t>
  </si>
  <si>
    <t xml:space="preserve">Fully managed MCP lifecycle</t>
  </si>
  <si>
    <t xml:space="preserve">Partial</t>
  </si>
  <si>
    <t xml:space="preserve">Easy developer experience</t>
  </si>
  <si>
    <t xml:space="preserve">Limited, early stage</t>
  </si>
  <si>
    <t xml:space="preserve">LangChain/LangGraph</t>
  </si>
  <si>
    <t xml:space="preserve">Agent framework</t>
  </si>
  <si>
    <t xml:space="preserve">Free (OSS) + Cloud</t>
  </si>
  <si>
    <t xml:space="preserve">Agent orchestration + observability</t>
  </si>
  <si>
    <t xml:space="preserve">Via LangSmith</t>
  </si>
  <si>
    <t xml:space="preserve">Largest agent dev community, flexible</t>
  </si>
  <si>
    <t xml:space="preserve">Complex, steep learning curve, not MCP-native</t>
  </si>
  <si>
    <t xml:space="preserve">AWS Bedrock AgentCore</t>
  </si>
  <si>
    <t xml:space="preserve">Cloud agent platform</t>
  </si>
  <si>
    <t xml:space="preserve">Per-invocation</t>
  </si>
  <si>
    <t xml:space="preserve">MCP context manager, multi-agent</t>
  </si>
  <si>
    <t xml:space="preserve">AWS ecosystem, enterprise trust</t>
  </si>
  <si>
    <t xml:space="preserve">AWS lock-in, complex pricing, not self-hosted</t>
  </si>
  <si>
    <t xml:space="preserve">Cloudflare MCP</t>
  </si>
  <si>
    <t xml:space="preserve">Edge MCP gateway</t>
  </si>
  <si>
    <t xml:space="preserve">Usage-based</t>
  </si>
  <si>
    <t xml:space="preserve">Edge-distributed MCP routing</t>
  </si>
  <si>
    <t xml:space="preserve">Global edge network, low latency</t>
  </si>
  <si>
    <t xml:space="preserve">Limited, edge-only, no agent farm</t>
  </si>
  <si>
    <t xml:space="preserve">YOUR MCP FARM</t>
  </si>
  <si>
    <t xml:space="preserve">OSS MCP + Agent farm</t>
  </si>
  <si>
    <t xml:space="preserve">$0 (self-host) or $99-$499</t>
  </si>
  <si>
    <t xml:space="preserve">Yes (planned)</t>
  </si>
  <si>
    <t xml:space="preserve">MCP gateway + agent farm + multi-LLM + local models</t>
  </si>
  <si>
    <t xml:space="preserve">Only self-hosted MCP+Agent platform with local LLM</t>
  </si>
  <si>
    <t xml:space="preserve">New, needs security hardening, no enterprise track record</t>
  </si>
  <si>
    <t xml:space="preserve">LOCAL vs CLOUD MODEL — Cost Comparison Per Product</t>
  </si>
  <si>
    <t xml:space="preserve">Based on Mac Mini M4 Pro (64GB) + Ollama (Qwen 2.5 Coder 32B) + pgvector</t>
  </si>
  <si>
    <t xml:space="preserve">Product</t>
  </si>
  <si>
    <t xml:space="preserve">Task</t>
  </si>
  <si>
    <t xml:space="preserve">Model Used</t>
  </si>
  <si>
    <t xml:space="preserve">Cost/Request</t>
  </si>
  <si>
    <t xml:space="preserve">Requests/Mo (est.)</t>
  </si>
  <si>
    <t xml:space="preserve">Monthly Cost</t>
  </si>
  <si>
    <t xml:space="preserve">% of Total Requests</t>
  </si>
  <si>
    <t xml:space="preserve">Cloud-Only Cost</t>
  </si>
  <si>
    <t xml:space="preserve">Doc Intelligence</t>
  </si>
  <si>
    <t xml:space="preserve">OCR / Parsing</t>
  </si>
  <si>
    <t xml:space="preserve">Local (Tesseract)</t>
  </si>
  <si>
    <t xml:space="preserve">Embeddings</t>
  </si>
  <si>
    <t xml:space="preserve">Local (nomic-embed)</t>
  </si>
  <si>
    <t xml:space="preserve">Classification</t>
  </si>
  <si>
    <t xml:space="preserve">Local (Qwen 32B)</t>
  </si>
  <si>
    <t xml:space="preserve">Simple extraction</t>
  </si>
  <si>
    <t xml:space="preserve">Complex analysis</t>
  </si>
  <si>
    <t xml:space="preserve">Claude Sonnet</t>
  </si>
  <si>
    <t xml:space="preserve">Q&amp;A over docs</t>
  </si>
  <si>
    <t xml:space="preserve">SUBTOTAL</t>
  </si>
  <si>
    <t xml:space="preserve">Customer Support</t>
  </si>
  <si>
    <t xml:space="preserve">Embed KB articles</t>
  </si>
  <si>
    <t xml:space="preserve">Classify intent</t>
  </si>
  <si>
    <t xml:space="preserve">RAG retrieval</t>
  </si>
  <si>
    <t xml:space="preserve">Local (pgvector)</t>
  </si>
  <si>
    <t xml:space="preserve">Simple response</t>
  </si>
  <si>
    <t xml:space="preserve">Complex response</t>
  </si>
  <si>
    <t xml:space="preserve">Sentiment analysis</t>
  </si>
  <si>
    <t xml:space="preserve">Personal Finance</t>
  </si>
  <si>
    <t xml:space="preserve">Price monitoring</t>
  </si>
  <si>
    <t xml:space="preserve">Local (rules)</t>
  </si>
  <si>
    <t xml:space="preserve">News embeddings</t>
  </si>
  <si>
    <t xml:space="preserve">Daily summary</t>
  </si>
  <si>
    <t xml:space="preserve">Tax analysis</t>
  </si>
  <si>
    <t xml:space="preserve">Deep rebalancing</t>
  </si>
  <si>
    <t xml:space="preserve">Portfolio chat</t>
  </si>
  <si>
    <t xml:space="preserve">Mixed (70/30)</t>
  </si>
  <si>
    <t xml:space="preserve">MONTHLY SAVINGS SUMMARY</t>
  </si>
  <si>
    <t xml:space="preserve">Local+Cloud Cost</t>
  </si>
  <si>
    <t xml:space="preserve">Monthly Savings</t>
  </si>
  <si>
    <t xml:space="preserve">Savings %</t>
  </si>
  <si>
    <t xml:space="preserve">Document Intelligence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</si>
</sst>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B05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E8D5F5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FCE4EC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D9D9D9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35"/>
    <col collapsed="false" customWidth="true" hidden="false" outlineLevel="0" max="5" min="5" style="1" width="38"/>
    <col collapsed="false" customWidth="true" hidden="false" outlineLevel="0" max="6" min="6" style="1" width="22"/>
    <col collapsed="false" customWidth="true" hidden="false" outlineLevel="0" max="7" min="7" style="1" width="16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n">
        <v>9</v>
      </c>
    </row>
    <row r="6" customFormat="false" ht="15" hidden="false" customHeight="true" outlineLevel="0" collapsed="false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8" t="n">
        <v>8</v>
      </c>
    </row>
    <row r="7" customFormat="false" ht="15" hidden="false" customHeight="true" outlineLevel="0" collapsed="false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9" t="n">
        <v>7</v>
      </c>
    </row>
    <row r="8" customFormat="false" ht="15" hidden="false" customHeight="true" outlineLevel="0" collapsed="false">
      <c r="A8" s="7" t="s">
        <v>27</v>
      </c>
      <c r="B8" s="7" t="s">
        <v>28</v>
      </c>
      <c r="C8" s="7" t="s">
        <v>29</v>
      </c>
      <c r="D8" s="7" t="s">
        <v>30</v>
      </c>
      <c r="E8" s="7" t="s">
        <v>31</v>
      </c>
      <c r="F8" s="7" t="s">
        <v>32</v>
      </c>
      <c r="G8" s="10" t="n">
        <v>6</v>
      </c>
    </row>
    <row r="9" customFormat="false" ht="15" hidden="false" customHeight="true" outlineLevel="0" collapsed="false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38</v>
      </c>
      <c r="G9" s="9" t="n">
        <v>7</v>
      </c>
    </row>
    <row r="12" customFormat="false" ht="15" hidden="false" customHeight="true" outlineLevel="0" collapsed="false">
      <c r="A12" s="11" t="s">
        <v>39</v>
      </c>
      <c r="B12" s="11"/>
      <c r="C12" s="11"/>
      <c r="D12" s="11"/>
      <c r="E12" s="11"/>
      <c r="F12" s="11"/>
      <c r="G12" s="11"/>
    </row>
    <row r="13" customFormat="false" ht="45" hidden="false" customHeight="true" outlineLevel="0" collapsed="false">
      <c r="A13" s="12" t="s">
        <v>40</v>
      </c>
      <c r="B13" s="12"/>
      <c r="C13" s="12"/>
      <c r="D13" s="12"/>
      <c r="E13" s="12"/>
      <c r="F13" s="12"/>
      <c r="G13" s="12"/>
    </row>
    <row r="14" customFormat="false" ht="45" hidden="false" customHeight="true" outlineLevel="0" collapsed="false">
      <c r="A14" s="12" t="s">
        <v>41</v>
      </c>
      <c r="B14" s="12"/>
      <c r="C14" s="12"/>
      <c r="D14" s="12"/>
      <c r="E14" s="12"/>
      <c r="F14" s="12"/>
      <c r="G14" s="12"/>
    </row>
  </sheetData>
  <mergeCells count="5">
    <mergeCell ref="A1:G1"/>
    <mergeCell ref="A2:G2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9" min="8" style="1" width="40"/>
  </cols>
  <sheetData>
    <row r="1" customFormat="false" ht="17.25" hidden="false" customHeight="true" outlineLevel="0" collapsed="false">
      <c r="A1" s="13" t="s">
        <v>42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14" t="s">
        <v>43</v>
      </c>
      <c r="B2" s="14"/>
      <c r="C2" s="14"/>
      <c r="D2" s="14"/>
      <c r="E2" s="14"/>
      <c r="F2" s="14"/>
      <c r="G2" s="14"/>
      <c r="H2" s="14"/>
      <c r="I2" s="14"/>
    </row>
    <row r="4" customFormat="false" ht="26.25" hidden="false" customHeight="true" outlineLevel="0" collapsed="false">
      <c r="A4" s="15" t="s">
        <v>44</v>
      </c>
      <c r="B4" s="15" t="s">
        <v>45</v>
      </c>
      <c r="C4" s="15" t="s">
        <v>46</v>
      </c>
      <c r="D4" s="15" t="s">
        <v>47</v>
      </c>
      <c r="E4" s="15" t="s">
        <v>48</v>
      </c>
      <c r="F4" s="15" t="s">
        <v>49</v>
      </c>
      <c r="G4" s="15" t="s">
        <v>50</v>
      </c>
      <c r="H4" s="15" t="s">
        <v>51</v>
      </c>
      <c r="I4" s="15" t="s">
        <v>52</v>
      </c>
    </row>
    <row r="5" customFormat="false" ht="15" hidden="false" customHeight="true" outlineLevel="0" collapsed="false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</row>
    <row r="6" customFormat="false" ht="15" hidden="false" customHeight="true" outlineLevel="0" collapsed="false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  <c r="I6" s="7" t="s">
        <v>70</v>
      </c>
    </row>
    <row r="7" customFormat="false" ht="15" hidden="false" customHeight="true" outlineLevel="0" collapsed="false">
      <c r="A7" s="5" t="s">
        <v>71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67</v>
      </c>
      <c r="G7" s="5" t="s">
        <v>76</v>
      </c>
      <c r="H7" s="5" t="s">
        <v>77</v>
      </c>
      <c r="I7" s="5" t="s">
        <v>78</v>
      </c>
    </row>
    <row r="8" customFormat="false" ht="23.25" hidden="false" customHeight="true" outlineLevel="0" collapsed="false">
      <c r="A8" s="7" t="s">
        <v>79</v>
      </c>
      <c r="B8" s="7" t="s">
        <v>54</v>
      </c>
      <c r="C8" s="7" t="s">
        <v>80</v>
      </c>
      <c r="D8" s="7" t="s">
        <v>81</v>
      </c>
      <c r="E8" s="7" t="s">
        <v>82</v>
      </c>
      <c r="F8" s="7" t="s">
        <v>83</v>
      </c>
      <c r="G8" s="7" t="s">
        <v>84</v>
      </c>
      <c r="H8" s="7" t="s">
        <v>85</v>
      </c>
      <c r="I8" s="7" t="s">
        <v>86</v>
      </c>
    </row>
    <row r="9" customFormat="false" ht="15" hidden="false" customHeight="true" outlineLevel="0" collapsed="false">
      <c r="A9" s="5" t="s">
        <v>87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5" t="s">
        <v>68</v>
      </c>
      <c r="H9" s="5" t="s">
        <v>93</v>
      </c>
      <c r="I9" s="5" t="s">
        <v>94</v>
      </c>
    </row>
    <row r="10" customFormat="false" ht="15" hidden="false" customHeight="true" outlineLevel="0" collapsed="false">
      <c r="A10" s="7" t="s">
        <v>95</v>
      </c>
      <c r="B10" s="7" t="s">
        <v>96</v>
      </c>
      <c r="C10" s="7" t="s">
        <v>97</v>
      </c>
      <c r="D10" s="7" t="s">
        <v>98</v>
      </c>
      <c r="E10" s="7" t="s">
        <v>99</v>
      </c>
      <c r="F10" s="7" t="s">
        <v>83</v>
      </c>
      <c r="G10" s="7" t="s">
        <v>100</v>
      </c>
      <c r="H10" s="7" t="s">
        <v>101</v>
      </c>
      <c r="I10" s="7" t="s">
        <v>102</v>
      </c>
    </row>
    <row r="11" customFormat="false" ht="15" hidden="false" customHeight="true" outlineLevel="0" collapsed="false">
      <c r="A11" s="5" t="s">
        <v>103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83</v>
      </c>
      <c r="G11" s="5" t="s">
        <v>104</v>
      </c>
      <c r="H11" s="5" t="s">
        <v>105</v>
      </c>
      <c r="I11" s="5" t="s">
        <v>106</v>
      </c>
    </row>
    <row r="12" customFormat="false" ht="23.25" hidden="false" customHeight="true" outlineLevel="0" collapsed="false">
      <c r="A12" s="16" t="s">
        <v>107</v>
      </c>
      <c r="B12" s="16" t="s">
        <v>72</v>
      </c>
      <c r="C12" s="16" t="s">
        <v>108</v>
      </c>
      <c r="D12" s="16" t="s">
        <v>109</v>
      </c>
      <c r="E12" s="16" t="s">
        <v>110</v>
      </c>
      <c r="F12" s="16" t="s">
        <v>83</v>
      </c>
      <c r="G12" s="16" t="s">
        <v>111</v>
      </c>
      <c r="H12" s="16" t="s">
        <v>112</v>
      </c>
      <c r="I12" s="16" t="s">
        <v>113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9" min="8" style="1" width="42"/>
  </cols>
  <sheetData>
    <row r="1" customFormat="false" ht="17.25" hidden="false" customHeight="true" outlineLevel="0" collapsed="false">
      <c r="A1" s="13" t="s">
        <v>114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14" t="s">
        <v>115</v>
      </c>
      <c r="B2" s="14"/>
      <c r="C2" s="14"/>
      <c r="D2" s="14"/>
      <c r="E2" s="14"/>
      <c r="F2" s="14"/>
      <c r="G2" s="14"/>
      <c r="H2" s="14"/>
      <c r="I2" s="14"/>
    </row>
    <row r="4" customFormat="false" ht="26.25" hidden="false" customHeight="true" outlineLevel="0" collapsed="false">
      <c r="A4" s="17" t="s">
        <v>44</v>
      </c>
      <c r="B4" s="17" t="s">
        <v>46</v>
      </c>
      <c r="C4" s="17" t="s">
        <v>116</v>
      </c>
      <c r="D4" s="17" t="s">
        <v>117</v>
      </c>
      <c r="E4" s="17" t="s">
        <v>118</v>
      </c>
      <c r="F4" s="17" t="s">
        <v>49</v>
      </c>
      <c r="G4" s="17" t="s">
        <v>119</v>
      </c>
      <c r="H4" s="17" t="s">
        <v>51</v>
      </c>
      <c r="I4" s="17" t="s">
        <v>52</v>
      </c>
    </row>
    <row r="5" customFormat="false" ht="15" hidden="false" customHeight="true" outlineLevel="0" collapsed="false">
      <c r="A5" s="18" t="s">
        <v>120</v>
      </c>
      <c r="B5" s="18" t="s">
        <v>121</v>
      </c>
      <c r="C5" s="18" t="s">
        <v>122</v>
      </c>
      <c r="D5" s="18" t="s">
        <v>123</v>
      </c>
      <c r="E5" s="18" t="s">
        <v>124</v>
      </c>
      <c r="F5" s="18" t="s">
        <v>92</v>
      </c>
      <c r="G5" s="18" t="s">
        <v>125</v>
      </c>
      <c r="H5" s="18" t="s">
        <v>126</v>
      </c>
      <c r="I5" s="18" t="s">
        <v>127</v>
      </c>
    </row>
    <row r="6" customFormat="false" ht="15" hidden="false" customHeight="true" outlineLevel="0" collapsed="false">
      <c r="A6" s="7" t="s">
        <v>128</v>
      </c>
      <c r="B6" s="7" t="s">
        <v>129</v>
      </c>
      <c r="C6" s="7" t="s">
        <v>130</v>
      </c>
      <c r="D6" s="7" t="s">
        <v>131</v>
      </c>
      <c r="E6" s="7" t="s">
        <v>132</v>
      </c>
      <c r="F6" s="7" t="s">
        <v>92</v>
      </c>
      <c r="G6" s="7" t="s">
        <v>133</v>
      </c>
      <c r="H6" s="7" t="s">
        <v>134</v>
      </c>
      <c r="I6" s="7" t="s">
        <v>135</v>
      </c>
    </row>
    <row r="7" customFormat="false" ht="15" hidden="false" customHeight="true" outlineLevel="0" collapsed="false">
      <c r="A7" s="18" t="s">
        <v>136</v>
      </c>
      <c r="B7" s="18" t="s">
        <v>137</v>
      </c>
      <c r="C7" s="18" t="s">
        <v>138</v>
      </c>
      <c r="D7" s="18" t="s">
        <v>139</v>
      </c>
      <c r="E7" s="18" t="s">
        <v>140</v>
      </c>
      <c r="F7" s="18" t="s">
        <v>92</v>
      </c>
      <c r="G7" s="18" t="s">
        <v>119</v>
      </c>
      <c r="H7" s="18" t="s">
        <v>141</v>
      </c>
      <c r="I7" s="18" t="s">
        <v>142</v>
      </c>
    </row>
    <row r="8" customFormat="false" ht="15" hidden="false" customHeight="true" outlineLevel="0" collapsed="false">
      <c r="A8" s="7" t="s">
        <v>143</v>
      </c>
      <c r="B8" s="7" t="s">
        <v>144</v>
      </c>
      <c r="C8" s="7" t="s">
        <v>145</v>
      </c>
      <c r="D8" s="7" t="s">
        <v>146</v>
      </c>
      <c r="E8" s="7" t="s">
        <v>147</v>
      </c>
      <c r="F8" s="7" t="s">
        <v>92</v>
      </c>
      <c r="G8" s="7" t="s">
        <v>148</v>
      </c>
      <c r="H8" s="7" t="s">
        <v>149</v>
      </c>
      <c r="I8" s="7" t="s">
        <v>150</v>
      </c>
    </row>
    <row r="9" customFormat="false" ht="15" hidden="false" customHeight="true" outlineLevel="0" collapsed="false">
      <c r="A9" s="18" t="s">
        <v>151</v>
      </c>
      <c r="B9" s="18" t="s">
        <v>152</v>
      </c>
      <c r="C9" s="18" t="s">
        <v>153</v>
      </c>
      <c r="D9" s="18" t="s">
        <v>154</v>
      </c>
      <c r="E9" s="18" t="s">
        <v>155</v>
      </c>
      <c r="F9" s="18" t="s">
        <v>92</v>
      </c>
      <c r="G9" s="18" t="s">
        <v>156</v>
      </c>
      <c r="H9" s="18" t="s">
        <v>157</v>
      </c>
      <c r="I9" s="18" t="s">
        <v>158</v>
      </c>
    </row>
    <row r="10" customFormat="false" ht="15" hidden="false" customHeight="true" outlineLevel="0" collapsed="false">
      <c r="A10" s="7" t="s">
        <v>159</v>
      </c>
      <c r="B10" s="7" t="s">
        <v>152</v>
      </c>
      <c r="C10" s="7" t="s">
        <v>160</v>
      </c>
      <c r="D10" s="7" t="s">
        <v>154</v>
      </c>
      <c r="E10" s="7" t="s">
        <v>161</v>
      </c>
      <c r="F10" s="7" t="s">
        <v>92</v>
      </c>
      <c r="G10" s="7" t="s">
        <v>156</v>
      </c>
      <c r="H10" s="7" t="s">
        <v>162</v>
      </c>
      <c r="I10" s="7" t="s">
        <v>163</v>
      </c>
    </row>
    <row r="11" customFormat="false" ht="23.25" hidden="false" customHeight="true" outlineLevel="0" collapsed="false">
      <c r="A11" s="16" t="s">
        <v>107</v>
      </c>
      <c r="B11" s="16" t="s">
        <v>164</v>
      </c>
      <c r="C11" s="16" t="s">
        <v>110</v>
      </c>
      <c r="D11" s="16" t="s">
        <v>165</v>
      </c>
      <c r="E11" s="16" t="s">
        <v>166</v>
      </c>
      <c r="F11" s="16" t="s">
        <v>83</v>
      </c>
      <c r="G11" s="16" t="s">
        <v>167</v>
      </c>
      <c r="H11" s="16" t="s">
        <v>168</v>
      </c>
      <c r="I11" s="16" t="s">
        <v>169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32"/>
    <col collapsed="false" customWidth="true" hidden="false" outlineLevel="0" max="8" min="8" style="1" width="38"/>
    <col collapsed="false" customWidth="true" hidden="false" outlineLevel="0" max="9" min="9" style="1" width="42"/>
  </cols>
  <sheetData>
    <row r="1" customFormat="false" ht="17.25" hidden="false" customHeight="true" outlineLevel="0" collapsed="false">
      <c r="A1" s="13" t="s">
        <v>170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14" t="s">
        <v>171</v>
      </c>
      <c r="B2" s="14"/>
      <c r="C2" s="14"/>
      <c r="D2" s="14"/>
      <c r="E2" s="14"/>
      <c r="F2" s="14"/>
      <c r="G2" s="14"/>
      <c r="H2" s="14"/>
      <c r="I2" s="14"/>
    </row>
    <row r="4" customFormat="false" ht="26.25" hidden="false" customHeight="true" outlineLevel="0" collapsed="false">
      <c r="A4" s="19" t="s">
        <v>44</v>
      </c>
      <c r="B4" s="19" t="s">
        <v>45</v>
      </c>
      <c r="C4" s="19" t="s">
        <v>172</v>
      </c>
      <c r="D4" s="19" t="s">
        <v>173</v>
      </c>
      <c r="E4" s="19" t="s">
        <v>174</v>
      </c>
      <c r="F4" s="19" t="s">
        <v>175</v>
      </c>
      <c r="G4" s="19" t="s">
        <v>176</v>
      </c>
      <c r="H4" s="19" t="s">
        <v>51</v>
      </c>
      <c r="I4" s="19" t="s">
        <v>52</v>
      </c>
    </row>
    <row r="5" customFormat="false" ht="23.25" hidden="false" customHeight="true" outlineLevel="0" collapsed="false">
      <c r="A5" s="20" t="s">
        <v>177</v>
      </c>
      <c r="B5" s="20" t="s">
        <v>178</v>
      </c>
      <c r="C5" s="20" t="s">
        <v>179</v>
      </c>
      <c r="D5" s="20" t="s">
        <v>180</v>
      </c>
      <c r="E5" s="20" t="s">
        <v>181</v>
      </c>
      <c r="F5" s="20" t="s">
        <v>92</v>
      </c>
      <c r="G5" s="20" t="s">
        <v>182</v>
      </c>
      <c r="H5" s="20" t="s">
        <v>183</v>
      </c>
      <c r="I5" s="20" t="s">
        <v>184</v>
      </c>
    </row>
    <row r="6" customFormat="false" ht="15" hidden="false" customHeight="true" outlineLevel="0" collapsed="false">
      <c r="A6" s="7" t="s">
        <v>185</v>
      </c>
      <c r="B6" s="7" t="s">
        <v>186</v>
      </c>
      <c r="C6" s="7" t="s">
        <v>187</v>
      </c>
      <c r="D6" s="7" t="s">
        <v>188</v>
      </c>
      <c r="E6" s="7" t="s">
        <v>189</v>
      </c>
      <c r="F6" s="7" t="s">
        <v>190</v>
      </c>
      <c r="G6" s="7" t="s">
        <v>191</v>
      </c>
      <c r="H6" s="7" t="s">
        <v>192</v>
      </c>
      <c r="I6" s="7" t="s">
        <v>193</v>
      </c>
    </row>
    <row r="7" customFormat="false" ht="15" hidden="false" customHeight="true" outlineLevel="0" collapsed="false">
      <c r="A7" s="20" t="s">
        <v>194</v>
      </c>
      <c r="B7" s="20" t="s">
        <v>195</v>
      </c>
      <c r="C7" s="20" t="s">
        <v>196</v>
      </c>
      <c r="D7" s="20" t="s">
        <v>180</v>
      </c>
      <c r="E7" s="20" t="s">
        <v>92</v>
      </c>
      <c r="F7" s="20" t="s">
        <v>92</v>
      </c>
      <c r="G7" s="20" t="s">
        <v>197</v>
      </c>
      <c r="H7" s="20" t="s">
        <v>198</v>
      </c>
      <c r="I7" s="20" t="s">
        <v>199</v>
      </c>
    </row>
    <row r="8" customFormat="false" ht="15" hidden="false" customHeight="true" outlineLevel="0" collapsed="false">
      <c r="A8" s="7" t="s">
        <v>200</v>
      </c>
      <c r="B8" s="7" t="s">
        <v>201</v>
      </c>
      <c r="C8" s="7" t="s">
        <v>202</v>
      </c>
      <c r="D8" s="7" t="s">
        <v>203</v>
      </c>
      <c r="E8" s="7" t="s">
        <v>204</v>
      </c>
      <c r="F8" s="7" t="s">
        <v>92</v>
      </c>
      <c r="G8" s="7" t="s">
        <v>205</v>
      </c>
      <c r="H8" s="7" t="s">
        <v>206</v>
      </c>
      <c r="I8" s="7" t="s">
        <v>207</v>
      </c>
    </row>
    <row r="9" customFormat="false" ht="15" hidden="false" customHeight="true" outlineLevel="0" collapsed="false">
      <c r="A9" s="20" t="s">
        <v>208</v>
      </c>
      <c r="B9" s="20" t="s">
        <v>209</v>
      </c>
      <c r="C9" s="20" t="s">
        <v>210</v>
      </c>
      <c r="D9" s="20" t="s">
        <v>211</v>
      </c>
      <c r="E9" s="20" t="s">
        <v>212</v>
      </c>
      <c r="F9" s="20" t="s">
        <v>92</v>
      </c>
      <c r="G9" s="20" t="s">
        <v>213</v>
      </c>
      <c r="H9" s="20" t="s">
        <v>214</v>
      </c>
      <c r="I9" s="20" t="s">
        <v>215</v>
      </c>
    </row>
    <row r="10" customFormat="false" ht="15" hidden="false" customHeight="true" outlineLevel="0" collapsed="false">
      <c r="A10" s="7" t="s">
        <v>216</v>
      </c>
      <c r="B10" s="7" t="s">
        <v>217</v>
      </c>
      <c r="C10" s="7" t="s">
        <v>218</v>
      </c>
      <c r="D10" s="7" t="s">
        <v>219</v>
      </c>
      <c r="E10" s="7" t="s">
        <v>220</v>
      </c>
      <c r="F10" s="7" t="s">
        <v>92</v>
      </c>
      <c r="G10" s="7" t="s">
        <v>221</v>
      </c>
      <c r="H10" s="7" t="s">
        <v>222</v>
      </c>
      <c r="I10" s="7" t="s">
        <v>223</v>
      </c>
    </row>
    <row r="11" customFormat="false" ht="23.25" hidden="false" customHeight="true" outlineLevel="0" collapsed="false">
      <c r="A11" s="16" t="s">
        <v>107</v>
      </c>
      <c r="B11" s="16" t="s">
        <v>224</v>
      </c>
      <c r="C11" s="16" t="s">
        <v>225</v>
      </c>
      <c r="D11" s="16" t="s">
        <v>226</v>
      </c>
      <c r="E11" s="16" t="s">
        <v>227</v>
      </c>
      <c r="F11" s="16" t="s">
        <v>228</v>
      </c>
      <c r="G11" s="16" t="s">
        <v>229</v>
      </c>
      <c r="H11" s="16" t="s">
        <v>230</v>
      </c>
      <c r="I11" s="16" t="s">
        <v>231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34"/>
    <col collapsed="false" customWidth="true" hidden="false" outlineLevel="0" max="8" min="8" style="1" width="40"/>
    <col collapsed="false" customWidth="true" hidden="false" outlineLevel="0" max="9" min="9" style="1" width="42"/>
  </cols>
  <sheetData>
    <row r="1" customFormat="false" ht="17.25" hidden="false" customHeight="true" outlineLevel="0" collapsed="false">
      <c r="A1" s="13" t="s">
        <v>232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14" t="s">
        <v>233</v>
      </c>
      <c r="B2" s="14"/>
      <c r="C2" s="14"/>
      <c r="D2" s="14"/>
      <c r="E2" s="14"/>
      <c r="F2" s="14"/>
      <c r="G2" s="14"/>
      <c r="H2" s="14"/>
      <c r="I2" s="14"/>
    </row>
    <row r="4" customFormat="false" ht="26.25" hidden="false" customHeight="true" outlineLevel="0" collapsed="false">
      <c r="A4" s="21" t="s">
        <v>44</v>
      </c>
      <c r="B4" s="21" t="s">
        <v>234</v>
      </c>
      <c r="C4" s="21" t="s">
        <v>172</v>
      </c>
      <c r="D4" s="21" t="s">
        <v>235</v>
      </c>
      <c r="E4" s="21" t="s">
        <v>49</v>
      </c>
      <c r="F4" s="21" t="s">
        <v>236</v>
      </c>
      <c r="G4" s="21" t="s">
        <v>176</v>
      </c>
      <c r="H4" s="21" t="s">
        <v>51</v>
      </c>
      <c r="I4" s="21" t="s">
        <v>52</v>
      </c>
    </row>
    <row r="5" customFormat="false" ht="15" hidden="false" customHeight="true" outlineLevel="0" collapsed="false">
      <c r="A5" s="22" t="s">
        <v>237</v>
      </c>
      <c r="B5" s="22" t="s">
        <v>238</v>
      </c>
      <c r="C5" s="22" t="s">
        <v>239</v>
      </c>
      <c r="D5" s="22" t="s">
        <v>240</v>
      </c>
      <c r="E5" s="22" t="s">
        <v>92</v>
      </c>
      <c r="F5" s="22" t="s">
        <v>92</v>
      </c>
      <c r="G5" s="22" t="s">
        <v>241</v>
      </c>
      <c r="H5" s="22" t="s">
        <v>242</v>
      </c>
      <c r="I5" s="22" t="s">
        <v>243</v>
      </c>
    </row>
    <row r="6" customFormat="false" ht="23.25" hidden="false" customHeight="true" outlineLevel="0" collapsed="false">
      <c r="A6" s="7" t="s">
        <v>244</v>
      </c>
      <c r="B6" s="7" t="s">
        <v>245</v>
      </c>
      <c r="C6" s="7" t="s">
        <v>246</v>
      </c>
      <c r="D6" s="7" t="s">
        <v>247</v>
      </c>
      <c r="E6" s="7" t="s">
        <v>92</v>
      </c>
      <c r="F6" s="7" t="s">
        <v>92</v>
      </c>
      <c r="G6" s="7" t="s">
        <v>248</v>
      </c>
      <c r="H6" s="7" t="s">
        <v>249</v>
      </c>
      <c r="I6" s="7" t="s">
        <v>250</v>
      </c>
    </row>
    <row r="7" customFormat="false" ht="15" hidden="false" customHeight="true" outlineLevel="0" collapsed="false">
      <c r="A7" s="22" t="s">
        <v>251</v>
      </c>
      <c r="B7" s="22" t="s">
        <v>252</v>
      </c>
      <c r="C7" s="22" t="s">
        <v>253</v>
      </c>
      <c r="D7" s="22" t="s">
        <v>254</v>
      </c>
      <c r="E7" s="22" t="s">
        <v>92</v>
      </c>
      <c r="F7" s="22" t="s">
        <v>92</v>
      </c>
      <c r="G7" s="22" t="s">
        <v>255</v>
      </c>
      <c r="H7" s="22" t="s">
        <v>256</v>
      </c>
      <c r="I7" s="22" t="s">
        <v>257</v>
      </c>
    </row>
    <row r="8" customFormat="false" ht="15" hidden="false" customHeight="true" outlineLevel="0" collapsed="false">
      <c r="A8" s="7" t="s">
        <v>258</v>
      </c>
      <c r="B8" s="7" t="s">
        <v>259</v>
      </c>
      <c r="C8" s="7" t="s">
        <v>260</v>
      </c>
      <c r="D8" s="7" t="s">
        <v>261</v>
      </c>
      <c r="E8" s="7" t="s">
        <v>92</v>
      </c>
      <c r="F8" s="7" t="s">
        <v>92</v>
      </c>
      <c r="G8" s="7" t="s">
        <v>262</v>
      </c>
      <c r="H8" s="7" t="s">
        <v>263</v>
      </c>
      <c r="I8" s="7" t="s">
        <v>264</v>
      </c>
    </row>
    <row r="9" customFormat="false" ht="15" hidden="false" customHeight="true" outlineLevel="0" collapsed="false">
      <c r="A9" s="22" t="s">
        <v>265</v>
      </c>
      <c r="B9" s="22" t="s">
        <v>266</v>
      </c>
      <c r="C9" s="22" t="s">
        <v>267</v>
      </c>
      <c r="D9" s="22" t="s">
        <v>268</v>
      </c>
      <c r="E9" s="22" t="s">
        <v>92</v>
      </c>
      <c r="F9" s="22" t="s">
        <v>92</v>
      </c>
      <c r="G9" s="22" t="s">
        <v>269</v>
      </c>
      <c r="H9" s="22" t="s">
        <v>270</v>
      </c>
      <c r="I9" s="22" t="s">
        <v>271</v>
      </c>
    </row>
    <row r="10" customFormat="false" ht="15" hidden="false" customHeight="true" outlineLevel="0" collapsed="false">
      <c r="A10" s="7" t="s">
        <v>272</v>
      </c>
      <c r="B10" s="7" t="s">
        <v>273</v>
      </c>
      <c r="C10" s="7" t="s">
        <v>274</v>
      </c>
      <c r="D10" s="7" t="s">
        <v>268</v>
      </c>
      <c r="E10" s="7" t="s">
        <v>92</v>
      </c>
      <c r="F10" s="7" t="s">
        <v>92</v>
      </c>
      <c r="G10" s="7" t="s">
        <v>275</v>
      </c>
      <c r="H10" s="7" t="s">
        <v>276</v>
      </c>
      <c r="I10" s="7" t="s">
        <v>277</v>
      </c>
    </row>
    <row r="11" customFormat="false" ht="23.25" hidden="false" customHeight="true" outlineLevel="0" collapsed="false">
      <c r="A11" s="16" t="s">
        <v>107</v>
      </c>
      <c r="B11" s="16" t="s">
        <v>278</v>
      </c>
      <c r="C11" s="16" t="s">
        <v>279</v>
      </c>
      <c r="D11" s="16" t="s">
        <v>226</v>
      </c>
      <c r="E11" s="16" t="s">
        <v>83</v>
      </c>
      <c r="F11" s="16" t="s">
        <v>280</v>
      </c>
      <c r="G11" s="16" t="s">
        <v>281</v>
      </c>
      <c r="H11" s="16" t="s">
        <v>282</v>
      </c>
      <c r="I11" s="16" t="s">
        <v>283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9" min="8" style="1" width="42"/>
  </cols>
  <sheetData>
    <row r="1" customFormat="false" ht="17.25" hidden="false" customHeight="true" outlineLevel="0" collapsed="false">
      <c r="A1" s="13" t="s">
        <v>284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14" t="s">
        <v>285</v>
      </c>
      <c r="B2" s="14"/>
      <c r="C2" s="14"/>
      <c r="D2" s="14"/>
      <c r="E2" s="14"/>
      <c r="F2" s="14"/>
      <c r="G2" s="14"/>
      <c r="H2" s="14"/>
      <c r="I2" s="14"/>
    </row>
    <row r="4" customFormat="false" ht="26.25" hidden="false" customHeight="true" outlineLevel="0" collapsed="false">
      <c r="A4" s="23" t="s">
        <v>44</v>
      </c>
      <c r="B4" s="23" t="s">
        <v>45</v>
      </c>
      <c r="C4" s="23" t="s">
        <v>172</v>
      </c>
      <c r="D4" s="23" t="s">
        <v>286</v>
      </c>
      <c r="E4" s="23" t="s">
        <v>49</v>
      </c>
      <c r="F4" s="23" t="s">
        <v>176</v>
      </c>
      <c r="G4" s="23" t="s">
        <v>287</v>
      </c>
      <c r="H4" s="23" t="s">
        <v>51</v>
      </c>
      <c r="I4" s="23" t="s">
        <v>52</v>
      </c>
    </row>
    <row r="5" customFormat="false" ht="15" hidden="false" customHeight="true" outlineLevel="0" collapsed="false">
      <c r="A5" s="24" t="s">
        <v>288</v>
      </c>
      <c r="B5" s="24" t="s">
        <v>289</v>
      </c>
      <c r="C5" s="24" t="s">
        <v>290</v>
      </c>
      <c r="D5" s="24" t="s">
        <v>92</v>
      </c>
      <c r="E5" s="24" t="s">
        <v>58</v>
      </c>
      <c r="F5" s="24" t="s">
        <v>291</v>
      </c>
      <c r="G5" s="24" t="s">
        <v>83</v>
      </c>
      <c r="H5" s="24" t="s">
        <v>292</v>
      </c>
      <c r="I5" s="24" t="s">
        <v>293</v>
      </c>
    </row>
    <row r="6" customFormat="false" ht="15" hidden="false" customHeight="true" outlineLevel="0" collapsed="false">
      <c r="A6" s="7" t="s">
        <v>294</v>
      </c>
      <c r="B6" s="7" t="s">
        <v>295</v>
      </c>
      <c r="C6" s="7" t="s">
        <v>154</v>
      </c>
      <c r="D6" s="7" t="s">
        <v>92</v>
      </c>
      <c r="E6" s="7" t="s">
        <v>92</v>
      </c>
      <c r="F6" s="7" t="s">
        <v>296</v>
      </c>
      <c r="G6" s="7" t="s">
        <v>83</v>
      </c>
      <c r="H6" s="7" t="s">
        <v>297</v>
      </c>
      <c r="I6" s="7" t="s">
        <v>298</v>
      </c>
    </row>
    <row r="7" customFormat="false" ht="15" hidden="false" customHeight="true" outlineLevel="0" collapsed="false">
      <c r="A7" s="24" t="s">
        <v>299</v>
      </c>
      <c r="B7" s="24" t="s">
        <v>300</v>
      </c>
      <c r="C7" s="24" t="s">
        <v>154</v>
      </c>
      <c r="D7" s="24" t="s">
        <v>92</v>
      </c>
      <c r="E7" s="24" t="s">
        <v>92</v>
      </c>
      <c r="F7" s="24" t="s">
        <v>301</v>
      </c>
      <c r="G7" s="24" t="s">
        <v>302</v>
      </c>
      <c r="H7" s="24" t="s">
        <v>303</v>
      </c>
      <c r="I7" s="24" t="s">
        <v>304</v>
      </c>
    </row>
    <row r="8" customFormat="false" ht="15" hidden="false" customHeight="true" outlineLevel="0" collapsed="false">
      <c r="A8" s="7" t="s">
        <v>305</v>
      </c>
      <c r="B8" s="7" t="s">
        <v>306</v>
      </c>
      <c r="C8" s="7" t="s">
        <v>307</v>
      </c>
      <c r="D8" s="7" t="s">
        <v>83</v>
      </c>
      <c r="E8" s="7" t="s">
        <v>83</v>
      </c>
      <c r="F8" s="7" t="s">
        <v>308</v>
      </c>
      <c r="G8" s="7" t="s">
        <v>309</v>
      </c>
      <c r="H8" s="7" t="s">
        <v>310</v>
      </c>
      <c r="I8" s="7" t="s">
        <v>311</v>
      </c>
    </row>
    <row r="9" customFormat="false" ht="15" hidden="false" customHeight="true" outlineLevel="0" collapsed="false">
      <c r="A9" s="24" t="s">
        <v>312</v>
      </c>
      <c r="B9" s="24" t="s">
        <v>313</v>
      </c>
      <c r="C9" s="24" t="s">
        <v>314</v>
      </c>
      <c r="D9" s="24" t="s">
        <v>92</v>
      </c>
      <c r="E9" s="24" t="s">
        <v>92</v>
      </c>
      <c r="F9" s="24" t="s">
        <v>315</v>
      </c>
      <c r="G9" s="24" t="s">
        <v>83</v>
      </c>
      <c r="H9" s="24" t="s">
        <v>316</v>
      </c>
      <c r="I9" s="24" t="s">
        <v>317</v>
      </c>
    </row>
    <row r="10" customFormat="false" ht="15" hidden="false" customHeight="true" outlineLevel="0" collapsed="false">
      <c r="A10" s="7" t="s">
        <v>318</v>
      </c>
      <c r="B10" s="7" t="s">
        <v>319</v>
      </c>
      <c r="C10" s="7" t="s">
        <v>320</v>
      </c>
      <c r="D10" s="7" t="s">
        <v>92</v>
      </c>
      <c r="E10" s="7" t="s">
        <v>92</v>
      </c>
      <c r="F10" s="7" t="s">
        <v>321</v>
      </c>
      <c r="G10" s="7" t="s">
        <v>302</v>
      </c>
      <c r="H10" s="7" t="s">
        <v>322</v>
      </c>
      <c r="I10" s="7" t="s">
        <v>323</v>
      </c>
    </row>
    <row r="11" customFormat="false" ht="23.25" hidden="false" customHeight="true" outlineLevel="0" collapsed="false">
      <c r="A11" s="16" t="s">
        <v>324</v>
      </c>
      <c r="B11" s="16" t="s">
        <v>325</v>
      </c>
      <c r="C11" s="16" t="s">
        <v>326</v>
      </c>
      <c r="D11" s="16" t="s">
        <v>327</v>
      </c>
      <c r="E11" s="16" t="s">
        <v>83</v>
      </c>
      <c r="F11" s="16" t="s">
        <v>328</v>
      </c>
      <c r="G11" s="16" t="s">
        <v>268</v>
      </c>
      <c r="H11" s="16" t="s">
        <v>329</v>
      </c>
      <c r="I11" s="16" t="s">
        <v>330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8" min="7" style="1" width="18"/>
  </cols>
  <sheetData>
    <row r="1" customFormat="false" ht="17.25" hidden="false" customHeight="true" outlineLevel="0" collapsed="false">
      <c r="A1" s="13" t="s">
        <v>331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332</v>
      </c>
      <c r="B2" s="14"/>
      <c r="C2" s="14"/>
      <c r="D2" s="14"/>
      <c r="E2" s="14"/>
      <c r="F2" s="14"/>
      <c r="G2" s="14"/>
      <c r="H2" s="14"/>
    </row>
    <row r="4" customFormat="false" ht="26.25" hidden="false" customHeight="true" outlineLevel="0" collapsed="false">
      <c r="A4" s="25" t="s">
        <v>333</v>
      </c>
      <c r="B4" s="25" t="s">
        <v>334</v>
      </c>
      <c r="C4" s="25" t="s">
        <v>335</v>
      </c>
      <c r="D4" s="25" t="s">
        <v>336</v>
      </c>
      <c r="E4" s="25" t="s">
        <v>337</v>
      </c>
      <c r="F4" s="25" t="s">
        <v>338</v>
      </c>
      <c r="G4" s="25" t="s">
        <v>339</v>
      </c>
      <c r="H4" s="25" t="s">
        <v>340</v>
      </c>
    </row>
    <row r="5" customFormat="false" ht="15" hidden="false" customHeight="true" outlineLevel="0" collapsed="false">
      <c r="A5" s="26" t="s">
        <v>341</v>
      </c>
      <c r="B5" s="26" t="s">
        <v>342</v>
      </c>
      <c r="C5" s="26" t="s">
        <v>343</v>
      </c>
      <c r="D5" s="26" t="n">
        <v>0</v>
      </c>
      <c r="E5" s="26" t="n">
        <v>5000</v>
      </c>
      <c r="F5" s="26" t="n">
        <f aca="false">D5*E5</f>
        <v>0</v>
      </c>
      <c r="G5" s="26"/>
      <c r="H5" s="26"/>
    </row>
    <row r="6" customFormat="false" ht="15" hidden="false" customHeight="true" outlineLevel="0" collapsed="false">
      <c r="A6" s="7"/>
      <c r="B6" s="7" t="s">
        <v>344</v>
      </c>
      <c r="C6" s="7" t="s">
        <v>345</v>
      </c>
      <c r="D6" s="7" t="n">
        <v>0</v>
      </c>
      <c r="E6" s="7" t="n">
        <v>5000</v>
      </c>
      <c r="F6" s="7" t="n">
        <f aca="false">D6*E6</f>
        <v>0</v>
      </c>
      <c r="G6" s="7"/>
      <c r="H6" s="7"/>
    </row>
    <row r="7" customFormat="false" ht="15" hidden="false" customHeight="true" outlineLevel="0" collapsed="false">
      <c r="A7" s="26"/>
      <c r="B7" s="26" t="s">
        <v>346</v>
      </c>
      <c r="C7" s="26" t="s">
        <v>347</v>
      </c>
      <c r="D7" s="26" t="n">
        <v>0</v>
      </c>
      <c r="E7" s="26" t="n">
        <v>2000</v>
      </c>
      <c r="F7" s="26" t="n">
        <f aca="false">D7*E7</f>
        <v>0</v>
      </c>
      <c r="G7" s="26"/>
      <c r="H7" s="26"/>
    </row>
    <row r="8" customFormat="false" ht="15" hidden="false" customHeight="true" outlineLevel="0" collapsed="false">
      <c r="A8" s="7"/>
      <c r="B8" s="7" t="s">
        <v>348</v>
      </c>
      <c r="C8" s="7" t="s">
        <v>347</v>
      </c>
      <c r="D8" s="7" t="n">
        <v>0</v>
      </c>
      <c r="E8" s="7" t="n">
        <v>2000</v>
      </c>
      <c r="F8" s="7" t="n">
        <f aca="false">D8*E8</f>
        <v>0</v>
      </c>
      <c r="G8" s="7"/>
      <c r="H8" s="7"/>
    </row>
    <row r="9" customFormat="false" ht="15" hidden="false" customHeight="true" outlineLevel="0" collapsed="false">
      <c r="A9" s="26"/>
      <c r="B9" s="26" t="s">
        <v>349</v>
      </c>
      <c r="C9" s="26" t="s">
        <v>350</v>
      </c>
      <c r="D9" s="26" t="n">
        <v>0.03</v>
      </c>
      <c r="E9" s="26" t="n">
        <v>1000</v>
      </c>
      <c r="F9" s="26" t="n">
        <f aca="false">D9*E9</f>
        <v>30</v>
      </c>
      <c r="G9" s="26"/>
      <c r="H9" s="26"/>
    </row>
    <row r="10" customFormat="false" ht="15" hidden="false" customHeight="true" outlineLevel="0" collapsed="false">
      <c r="A10" s="7"/>
      <c r="B10" s="7" t="s">
        <v>351</v>
      </c>
      <c r="C10" s="7" t="s">
        <v>350</v>
      </c>
      <c r="D10" s="7" t="n">
        <v>0.05</v>
      </c>
      <c r="E10" s="7" t="n">
        <v>500</v>
      </c>
      <c r="F10" s="7" t="n">
        <f aca="false">D10*E10</f>
        <v>25</v>
      </c>
      <c r="G10" s="7"/>
      <c r="H10" s="7"/>
    </row>
    <row r="11" customFormat="false" ht="15" hidden="false" customHeight="true" outlineLevel="0" collapsed="false">
      <c r="A11" s="27"/>
      <c r="B11" s="27" t="s">
        <v>352</v>
      </c>
      <c r="C11" s="27"/>
      <c r="D11" s="27"/>
      <c r="E11" s="27" t="n">
        <f aca="false">SUM(E5:E10)</f>
        <v>15500</v>
      </c>
      <c r="F11" s="27" t="n">
        <f aca="false">SUM(F5:F10)</f>
        <v>55</v>
      </c>
      <c r="G11" s="27" t="str">
        <f aca="false">ROUND(SUM(E5:E8)/E11*100,0)&amp;"% local"</f>
        <v>90% local</v>
      </c>
      <c r="H11" s="27" t="n">
        <f aca="false">E11*0.03</f>
        <v>465</v>
      </c>
    </row>
    <row r="12" customFormat="false" ht="15" hidden="false" customHeight="true" outlineLevel="0" collapsed="false">
      <c r="A12" s="7" t="s">
        <v>353</v>
      </c>
      <c r="B12" s="7" t="s">
        <v>354</v>
      </c>
      <c r="C12" s="7" t="s">
        <v>345</v>
      </c>
      <c r="D12" s="7" t="n">
        <v>0</v>
      </c>
      <c r="E12" s="7" t="n">
        <v>3000</v>
      </c>
      <c r="F12" s="7" t="n">
        <f aca="false">D12*E12</f>
        <v>0</v>
      </c>
      <c r="G12" s="7"/>
      <c r="H12" s="7"/>
    </row>
    <row r="13" customFormat="false" ht="15" hidden="false" customHeight="true" outlineLevel="0" collapsed="false">
      <c r="A13" s="26"/>
      <c r="B13" s="26" t="s">
        <v>355</v>
      </c>
      <c r="C13" s="26" t="s">
        <v>347</v>
      </c>
      <c r="D13" s="26" t="n">
        <v>0</v>
      </c>
      <c r="E13" s="26" t="n">
        <v>8000</v>
      </c>
      <c r="F13" s="26" t="n">
        <f aca="false">D13*E13</f>
        <v>0</v>
      </c>
      <c r="G13" s="26"/>
      <c r="H13" s="26"/>
    </row>
    <row r="14" customFormat="false" ht="15" hidden="false" customHeight="true" outlineLevel="0" collapsed="false">
      <c r="A14" s="7"/>
      <c r="B14" s="7" t="s">
        <v>356</v>
      </c>
      <c r="C14" s="7" t="s">
        <v>357</v>
      </c>
      <c r="D14" s="7" t="n">
        <v>0</v>
      </c>
      <c r="E14" s="7" t="n">
        <v>8000</v>
      </c>
      <c r="F14" s="7" t="n">
        <f aca="false">D14*E14</f>
        <v>0</v>
      </c>
      <c r="G14" s="7"/>
      <c r="H14" s="7"/>
    </row>
    <row r="15" customFormat="false" ht="15" hidden="false" customHeight="true" outlineLevel="0" collapsed="false">
      <c r="A15" s="26"/>
      <c r="B15" s="26" t="s">
        <v>358</v>
      </c>
      <c r="C15" s="26" t="s">
        <v>347</v>
      </c>
      <c r="D15" s="26" t="n">
        <v>0</v>
      </c>
      <c r="E15" s="26" t="n">
        <v>6000</v>
      </c>
      <c r="F15" s="26" t="n">
        <f aca="false">D15*E15</f>
        <v>0</v>
      </c>
      <c r="G15" s="26"/>
      <c r="H15" s="26"/>
    </row>
    <row r="16" customFormat="false" ht="15" hidden="false" customHeight="true" outlineLevel="0" collapsed="false">
      <c r="A16" s="7"/>
      <c r="B16" s="7" t="s">
        <v>359</v>
      </c>
      <c r="C16" s="7" t="s">
        <v>350</v>
      </c>
      <c r="D16" s="7" t="n">
        <v>0.03</v>
      </c>
      <c r="E16" s="7" t="n">
        <v>2000</v>
      </c>
      <c r="F16" s="7" t="n">
        <f aca="false">D16*E16</f>
        <v>60</v>
      </c>
      <c r="G16" s="7"/>
      <c r="H16" s="7"/>
    </row>
    <row r="17" customFormat="false" ht="15" hidden="false" customHeight="true" outlineLevel="0" collapsed="false">
      <c r="A17" s="26"/>
      <c r="B17" s="26" t="s">
        <v>360</v>
      </c>
      <c r="C17" s="26" t="s">
        <v>347</v>
      </c>
      <c r="D17" s="26" t="n">
        <v>0</v>
      </c>
      <c r="E17" s="26" t="n">
        <v>8000</v>
      </c>
      <c r="F17" s="26" t="n">
        <f aca="false">D17*E17</f>
        <v>0</v>
      </c>
      <c r="G17" s="26"/>
      <c r="H17" s="26"/>
    </row>
    <row r="18" customFormat="false" ht="15" hidden="false" customHeight="true" outlineLevel="0" collapsed="false">
      <c r="A18" s="27"/>
      <c r="B18" s="27" t="s">
        <v>352</v>
      </c>
      <c r="C18" s="27"/>
      <c r="D18" s="27" t="n">
        <v>0</v>
      </c>
      <c r="E18" s="27" t="n">
        <f aca="false">SUM(E12:E17)</f>
        <v>35000</v>
      </c>
      <c r="F18" s="27" t="n">
        <f aca="false">SUM(F12:F17)</f>
        <v>60</v>
      </c>
      <c r="G18" s="27" t="str">
        <f aca="false">ROUND(SUM(E12:E15,E17)/E18*100,0)&amp;"% local"</f>
        <v>94% local</v>
      </c>
      <c r="H18" s="27" t="n">
        <f aca="false">E18*0.03</f>
        <v>1050</v>
      </c>
    </row>
    <row r="19" customFormat="false" ht="15" hidden="false" customHeight="true" outlineLevel="0" collapsed="false">
      <c r="A19" s="26" t="s">
        <v>361</v>
      </c>
      <c r="B19" s="26" t="s">
        <v>362</v>
      </c>
      <c r="C19" s="26" t="s">
        <v>363</v>
      </c>
      <c r="D19" s="26" t="n">
        <v>0</v>
      </c>
      <c r="E19" s="26" t="n">
        <v>10000</v>
      </c>
      <c r="F19" s="26" t="n">
        <f aca="false">D19*E19</f>
        <v>0</v>
      </c>
      <c r="G19" s="26"/>
      <c r="H19" s="26"/>
    </row>
    <row r="20" customFormat="false" ht="15" hidden="false" customHeight="true" outlineLevel="0" collapsed="false">
      <c r="A20" s="7"/>
      <c r="B20" s="7" t="s">
        <v>364</v>
      </c>
      <c r="C20" s="7" t="s">
        <v>345</v>
      </c>
      <c r="D20" s="7" t="n">
        <v>0</v>
      </c>
      <c r="E20" s="7" t="n">
        <v>2000</v>
      </c>
      <c r="F20" s="7" t="n">
        <f aca="false">D20*E20</f>
        <v>0</v>
      </c>
      <c r="G20" s="7"/>
      <c r="H20" s="7"/>
    </row>
    <row r="21" customFormat="false" ht="15" hidden="false" customHeight="true" outlineLevel="0" collapsed="false">
      <c r="A21" s="26"/>
      <c r="B21" s="26" t="s">
        <v>365</v>
      </c>
      <c r="C21" s="26" t="s">
        <v>347</v>
      </c>
      <c r="D21" s="26" t="n">
        <v>0</v>
      </c>
      <c r="E21" s="26" t="n">
        <v>1000</v>
      </c>
      <c r="F21" s="26" t="n">
        <f aca="false">D21*E21</f>
        <v>0</v>
      </c>
      <c r="G21" s="26"/>
      <c r="H21" s="26"/>
    </row>
    <row r="22" customFormat="false" ht="15" hidden="false" customHeight="true" outlineLevel="0" collapsed="false">
      <c r="A22" s="7"/>
      <c r="B22" s="7" t="s">
        <v>366</v>
      </c>
      <c r="C22" s="7" t="s">
        <v>347</v>
      </c>
      <c r="D22" s="7" t="n">
        <v>0</v>
      </c>
      <c r="E22" s="7" t="n">
        <v>500</v>
      </c>
      <c r="F22" s="7" t="n">
        <f aca="false">D22*E22</f>
        <v>0</v>
      </c>
      <c r="G22" s="7"/>
      <c r="H22" s="7"/>
    </row>
    <row r="23" customFormat="false" ht="15" hidden="false" customHeight="true" outlineLevel="0" collapsed="false">
      <c r="A23" s="26"/>
      <c r="B23" s="26" t="s">
        <v>367</v>
      </c>
      <c r="C23" s="26" t="s">
        <v>350</v>
      </c>
      <c r="D23" s="26" t="n">
        <v>0.05</v>
      </c>
      <c r="E23" s="26" t="n">
        <v>200</v>
      </c>
      <c r="F23" s="26" t="n">
        <f aca="false">D23*E23</f>
        <v>10</v>
      </c>
      <c r="G23" s="26"/>
      <c r="H23" s="26"/>
    </row>
    <row r="24" customFormat="false" ht="15" hidden="false" customHeight="true" outlineLevel="0" collapsed="false">
      <c r="A24" s="7"/>
      <c r="B24" s="7" t="s">
        <v>368</v>
      </c>
      <c r="C24" s="7" t="s">
        <v>369</v>
      </c>
      <c r="D24" s="7" t="n">
        <v>0.01</v>
      </c>
      <c r="E24" s="7" t="n">
        <v>3000</v>
      </c>
      <c r="F24" s="7" t="n">
        <f aca="false">D24*E24</f>
        <v>30</v>
      </c>
      <c r="G24" s="7"/>
      <c r="H24" s="7"/>
    </row>
    <row r="25" customFormat="false" ht="15" hidden="false" customHeight="true" outlineLevel="0" collapsed="false">
      <c r="A25" s="27"/>
      <c r="B25" s="27" t="s">
        <v>352</v>
      </c>
      <c r="C25" s="27"/>
      <c r="D25" s="27"/>
      <c r="E25" s="27" t="n">
        <f aca="false">SUM(E19:E24)</f>
        <v>16700</v>
      </c>
      <c r="F25" s="27" t="n">
        <f aca="false">SUM(F19:F24)</f>
        <v>40</v>
      </c>
      <c r="G25" s="27" t="str">
        <f aca="false">ROUND(SUM(E19:E22)/E25*100,0)&amp;"% local"</f>
        <v>81% local</v>
      </c>
      <c r="H25" s="27" t="n">
        <f aca="false">E25*0.03</f>
        <v>501</v>
      </c>
    </row>
    <row r="26" customFormat="false" ht="15" hidden="false" customHeight="true" outlineLevel="0" collapsed="false"/>
    <row r="29" customFormat="false" ht="15" hidden="false" customHeight="true" outlineLevel="0" collapsed="false">
      <c r="A29" s="28" t="s">
        <v>370</v>
      </c>
      <c r="B29" s="28"/>
      <c r="C29" s="28"/>
      <c r="D29" s="28"/>
      <c r="E29" s="28"/>
      <c r="F29" s="28"/>
      <c r="G29" s="28"/>
      <c r="H29" s="28"/>
    </row>
    <row r="30" customFormat="false" ht="15" hidden="false" customHeight="true" outlineLevel="0" collapsed="false">
      <c r="A30" s="25" t="s">
        <v>333</v>
      </c>
      <c r="B30" s="25"/>
      <c r="C30" s="25" t="s">
        <v>371</v>
      </c>
      <c r="D30" s="25"/>
      <c r="E30" s="25" t="s">
        <v>340</v>
      </c>
      <c r="F30" s="25"/>
      <c r="G30" s="25" t="s">
        <v>372</v>
      </c>
      <c r="H30" s="25" t="s">
        <v>373</v>
      </c>
    </row>
    <row r="31" customFormat="false" ht="15" hidden="false" customHeight="true" outlineLevel="0" collapsed="false">
      <c r="A31" s="5" t="s">
        <v>374</v>
      </c>
      <c r="B31" s="5"/>
      <c r="C31" s="29" t="n">
        <f aca="false">F11</f>
        <v>55</v>
      </c>
      <c r="D31" s="5"/>
      <c r="E31" s="29" t="n">
        <f aca="false">H11</f>
        <v>465</v>
      </c>
      <c r="F31" s="5"/>
      <c r="G31" s="29" t="n">
        <f aca="false">E31-C31</f>
        <v>410</v>
      </c>
      <c r="H31" s="30" t="n">
        <f aca="false">IF(E31&gt;0,G31/E31,0)</f>
        <v>0.881720430107527</v>
      </c>
    </row>
    <row r="32" customFormat="false" ht="15" hidden="false" customHeight="true" outlineLevel="0" collapsed="false">
      <c r="A32" s="7" t="s">
        <v>353</v>
      </c>
      <c r="B32" s="7"/>
      <c r="C32" s="31" t="n">
        <f aca="false">F18</f>
        <v>60</v>
      </c>
      <c r="D32" s="7"/>
      <c r="E32" s="31" t="n">
        <f aca="false">H18</f>
        <v>1050</v>
      </c>
      <c r="F32" s="7"/>
      <c r="G32" s="31" t="n">
        <f aca="false">E32-C32</f>
        <v>990</v>
      </c>
      <c r="H32" s="32" t="n">
        <f aca="false">IF(E32&gt;0,G32/E32,0)</f>
        <v>0.942857142857143</v>
      </c>
    </row>
    <row r="33" customFormat="false" ht="15" hidden="false" customHeight="true" outlineLevel="0" collapsed="false">
      <c r="A33" s="5" t="s">
        <v>361</v>
      </c>
      <c r="B33" s="5"/>
      <c r="C33" s="29" t="n">
        <f aca="false">F25</f>
        <v>40</v>
      </c>
      <c r="D33" s="5"/>
      <c r="E33" s="29" t="n">
        <f aca="false">H25</f>
        <v>501</v>
      </c>
      <c r="F33" s="5"/>
      <c r="G33" s="29" t="n">
        <f aca="false">E33-C33</f>
        <v>461</v>
      </c>
      <c r="H33" s="30" t="n">
        <f aca="false">IF(E33&gt;0,G33/E33,0)</f>
        <v>0.920159680638723</v>
      </c>
    </row>
  </sheetData>
  <mergeCells count="3">
    <mergeCell ref="A1:H1"/>
    <mergeCell ref="A2:H2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2026-04-05T10:38:08Z</dcterms:created>
  <dc:creator>openpyxl</dc:creator>
  <dc:description/>
  <dc:language>en-US</dc:language>
  <cp:lastModifiedBy/>
  <dcterms:modified xsi:type="dcterms:W3CDTF">2026-04-05T10:38:37Z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